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運賃マスタ" sheetId="1" state="visible" r:id="rId3"/>
    <sheet name="交通費計算" sheetId="2" state="visible" r:id="rId4"/>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F1" authorId="0">
      <text>
        <r>
          <rPr>
            <sz val="10"/>
            <rFont val="WenQuanYi Zen Hei"/>
            <family val="2"/>
          </rPr>
          <t xml:space="preserve">入力欄（黄色・青字）：目的地までの電車の片道運賃（円）を入力してください。電車ルートがない場合は空欄のままにしてください。</t>
        </r>
      </text>
    </comment>
    <comment ref="G1" authorId="0">
      <text>
        <r>
          <rPr>
            <sz val="10"/>
            <rFont val="WenQuanYi Zen Hei"/>
            <family val="2"/>
          </rPr>
          <t xml:space="preserve">入力欄（黄色・青字）：目的地までのバスの片道運賃（円）を入力してください。「交通費計算」シートでは電車運賃が入力されていればそちらを優先し、電車運賃が空欄の場合のみバス運賃を使用します。</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WenQuanYi Zen Hei"/>
            <family val="2"/>
          </rPr>
          <t xml:space="preserve">入力欄：プルダウンから目的地を選択してください。一覧にない目的地は「運賃マスタ」シートに新しい行を追加してください。</t>
        </r>
      </text>
    </comment>
    <comment ref="C13" authorId="0">
      <text>
        <r>
          <rPr>
            <sz val="10"/>
            <rFont val="WenQuanYi Zen Hei"/>
            <family val="2"/>
          </rPr>
          <t xml:space="preserve">電車運賃（片道・円）が入力されていれば電車を優先し、電車運賃が未入力（</t>
        </r>
        <r>
          <rPr>
            <sz val="10"/>
            <rFont val="Arial"/>
            <family val="2"/>
          </rPr>
          <t xml:space="preserve">0</t>
        </r>
        <r>
          <rPr>
            <sz val="10"/>
            <rFont val="WenQuanYi Zen Hei"/>
            <family val="2"/>
          </rPr>
          <t xml:space="preserve">）の場合のみバス運賃を使用します。</t>
        </r>
      </text>
    </comment>
  </commentList>
</comments>
</file>

<file path=xl/sharedStrings.xml><?xml version="1.0" encoding="utf-8"?>
<sst xmlns="http://schemas.openxmlformats.org/spreadsheetml/2006/main" count="45" uniqueCount="40">
  <si>
    <t xml:space="preserve">No.</t>
  </si>
  <si>
    <t xml:space="preserve">種別</t>
  </si>
  <si>
    <t xml:space="preserve">目的地名（利用者・病院・施設）</t>
  </si>
  <si>
    <t xml:space="preserve">最寄り駅・バス停</t>
  </si>
  <si>
    <t xml:space="preserve">経路メモ（周船寺駅→目的地）</t>
  </si>
  <si>
    <t xml:space="preserve">電車運賃（片道・円）</t>
  </si>
  <si>
    <t xml:space="preserve">バス運賃（片道・円）</t>
  </si>
  <si>
    <t xml:space="preserve">確認日・出典・備考</t>
  </si>
  <si>
    <t xml:space="preserve">病院</t>
  </si>
  <si>
    <t xml:space="preserve">福岡大学病院</t>
  </si>
  <si>
    <t xml:space="preserve">福大前駅</t>
  </si>
  <si>
    <r>
      <rPr>
        <sz val="11"/>
        <color rgb="FF000000"/>
        <rFont val="WenQuanYi Zen Hei"/>
        <family val="2"/>
      </rPr>
      <t xml:space="preserve">周船寺→</t>
    </r>
    <r>
      <rPr>
        <sz val="11"/>
        <color rgb="FF000000"/>
        <rFont val="Arial"/>
        <family val="0"/>
        <charset val="1"/>
      </rPr>
      <t xml:space="preserve">(JR</t>
    </r>
    <r>
      <rPr>
        <sz val="11"/>
        <color rgb="FF000000"/>
        <rFont val="WenQuanYi Zen Hei"/>
        <family val="2"/>
      </rPr>
      <t xml:space="preserve">筑肥線</t>
    </r>
    <r>
      <rPr>
        <sz val="11"/>
        <color rgb="FF000000"/>
        <rFont val="Arial"/>
        <family val="0"/>
        <charset val="1"/>
      </rPr>
      <t xml:space="preserve">)→</t>
    </r>
    <r>
      <rPr>
        <sz val="11"/>
        <color rgb="FF000000"/>
        <rFont val="WenQuanYi Zen Hei"/>
        <family val="2"/>
      </rPr>
      <t xml:space="preserve">姪浜→</t>
    </r>
    <r>
      <rPr>
        <sz val="11"/>
        <color rgb="FF000000"/>
        <rFont val="Arial"/>
        <family val="0"/>
        <charset val="1"/>
      </rPr>
      <t xml:space="preserve">(</t>
    </r>
    <r>
      <rPr>
        <sz val="11"/>
        <color rgb="FF000000"/>
        <rFont val="WenQuanYi Zen Hei"/>
        <family val="2"/>
      </rPr>
      <t xml:space="preserve">地下鉄空港線 直通</t>
    </r>
    <r>
      <rPr>
        <sz val="11"/>
        <color rgb="FF000000"/>
        <rFont val="Arial"/>
        <family val="0"/>
        <charset val="1"/>
      </rPr>
      <t xml:space="preserve">)→</t>
    </r>
    <r>
      <rPr>
        <sz val="11"/>
        <color rgb="FF000000"/>
        <rFont val="WenQuanYi Zen Hei"/>
        <family val="2"/>
      </rPr>
      <t xml:space="preserve">博多</t>
    </r>
    <r>
      <rPr>
        <sz val="11"/>
        <color rgb="FF000000"/>
        <rFont val="Arial"/>
        <family val="0"/>
        <charset val="1"/>
      </rPr>
      <t xml:space="preserve">(</t>
    </r>
    <r>
      <rPr>
        <sz val="11"/>
        <color rgb="FF000000"/>
        <rFont val="WenQuanYi Zen Hei"/>
        <family val="2"/>
      </rPr>
      <t xml:space="preserve">同一駅構内で乗換</t>
    </r>
    <r>
      <rPr>
        <sz val="11"/>
        <color rgb="FF000000"/>
        <rFont val="Arial"/>
        <family val="0"/>
        <charset val="1"/>
      </rPr>
      <t xml:space="preserve">)→(</t>
    </r>
    <r>
      <rPr>
        <sz val="11"/>
        <color rgb="FF000000"/>
        <rFont val="WenQuanYi Zen Hei"/>
        <family val="2"/>
      </rPr>
      <t xml:space="preserve">地下鉄七隈線</t>
    </r>
    <r>
      <rPr>
        <sz val="11"/>
        <color rgb="FF000000"/>
        <rFont val="Arial"/>
        <family val="0"/>
        <charset val="1"/>
      </rPr>
      <t xml:space="preserve">)→</t>
    </r>
    <r>
      <rPr>
        <sz val="11"/>
        <color rgb="FF000000"/>
        <rFont val="WenQuanYi Zen Hei"/>
        <family val="2"/>
      </rPr>
      <t xml:space="preserve">福大前→</t>
    </r>
    <r>
      <rPr>
        <sz val="11"/>
        <color rgb="FF000000"/>
        <rFont val="Arial"/>
        <family val="0"/>
        <charset val="1"/>
      </rPr>
      <t xml:space="preserve">(</t>
    </r>
    <r>
      <rPr>
        <sz val="11"/>
        <color rgb="FF000000"/>
        <rFont val="WenQuanYi Zen Hei"/>
        <family val="2"/>
      </rPr>
      <t xml:space="preserve">徒歩約</t>
    </r>
    <r>
      <rPr>
        <sz val="11"/>
        <color rgb="FF000000"/>
        <rFont val="Arial"/>
        <family val="0"/>
        <charset val="1"/>
      </rPr>
      <t xml:space="preserve">1</t>
    </r>
    <r>
      <rPr>
        <sz val="11"/>
        <color rgb="FF000000"/>
        <rFont val="WenQuanYi Zen Hei"/>
        <family val="2"/>
      </rPr>
      <t xml:space="preserve">分</t>
    </r>
    <r>
      <rPr>
        <sz val="11"/>
        <color rgb="FF000000"/>
        <rFont val="Arial"/>
        <family val="0"/>
        <charset val="1"/>
      </rPr>
      <t xml:space="preserve">)</t>
    </r>
  </si>
  <si>
    <r>
      <rPr>
        <sz val="11"/>
        <color rgb="FF000000"/>
        <rFont val="WenQuanYi Zen Hei"/>
        <family val="2"/>
      </rPr>
      <t xml:space="preserve">最寄り駅は「福大前」駅（福岡市地下鉄七隈線）です。「福岡大学病院前」という駅名ではないのでご注意ください（福大前駅は福岡大学と福岡大学病院に挟まれた場所にあり、病院までは徒歩約</t>
    </r>
    <r>
      <rPr>
        <sz val="11"/>
        <color rgb="FF000000"/>
        <rFont val="Arial"/>
        <family val="0"/>
        <charset val="1"/>
      </rPr>
      <t xml:space="preserve">1</t>
    </r>
    <r>
      <rPr>
        <sz val="11"/>
        <color rgb="FF000000"/>
        <rFont val="WenQuanYi Zen Hei"/>
        <family val="2"/>
      </rPr>
      <t xml:space="preserve">分）。推奨ルート：周船寺→</t>
    </r>
    <r>
      <rPr>
        <sz val="11"/>
        <color rgb="FF000000"/>
        <rFont val="Arial"/>
        <family val="0"/>
        <charset val="1"/>
      </rPr>
      <t xml:space="preserve">(JR</t>
    </r>
    <r>
      <rPr>
        <sz val="11"/>
        <color rgb="FF000000"/>
        <rFont val="WenQuanYi Zen Hei"/>
        <family val="2"/>
      </rPr>
      <t xml:space="preserve">筑肥線</t>
    </r>
    <r>
      <rPr>
        <sz val="11"/>
        <color rgb="FF000000"/>
        <rFont val="Arial"/>
        <family val="0"/>
        <charset val="1"/>
      </rPr>
      <t xml:space="preserve">)→</t>
    </r>
    <r>
      <rPr>
        <sz val="11"/>
        <color rgb="FF000000"/>
        <rFont val="WenQuanYi Zen Hei"/>
        <family val="2"/>
      </rPr>
      <t xml:space="preserve">姪浜→</t>
    </r>
    <r>
      <rPr>
        <sz val="11"/>
        <color rgb="FF000000"/>
        <rFont val="Arial"/>
        <family val="0"/>
        <charset val="1"/>
      </rPr>
      <t xml:space="preserve">(</t>
    </r>
    <r>
      <rPr>
        <sz val="11"/>
        <color rgb="FF000000"/>
        <rFont val="WenQuanYi Zen Hei"/>
        <family val="2"/>
      </rPr>
      <t xml:space="preserve">地下鉄空港線 直通</t>
    </r>
    <r>
      <rPr>
        <sz val="11"/>
        <color rgb="FF000000"/>
        <rFont val="Arial"/>
        <family val="0"/>
        <charset val="1"/>
      </rPr>
      <t xml:space="preserve">)→</t>
    </r>
    <r>
      <rPr>
        <sz val="11"/>
        <color rgb="FF000000"/>
        <rFont val="WenQuanYi Zen Hei"/>
        <family val="2"/>
      </rPr>
      <t xml:space="preserve">博多→</t>
    </r>
    <r>
      <rPr>
        <sz val="11"/>
        <color rgb="FF000000"/>
        <rFont val="Arial"/>
        <family val="0"/>
        <charset val="1"/>
      </rPr>
      <t xml:space="preserve">(</t>
    </r>
    <r>
      <rPr>
        <sz val="11"/>
        <color rgb="FF000000"/>
        <rFont val="WenQuanYi Zen Hei"/>
        <family val="2"/>
      </rPr>
      <t xml:space="preserve">地下鉄七隈線</t>
    </r>
    <r>
      <rPr>
        <sz val="11"/>
        <color rgb="FF000000"/>
        <rFont val="Arial"/>
        <family val="0"/>
        <charset val="1"/>
      </rPr>
      <t xml:space="preserve">)→</t>
    </r>
    <r>
      <rPr>
        <sz val="11"/>
        <color rgb="FF000000"/>
        <rFont val="WenQuanYi Zen Hei"/>
        <family val="2"/>
      </rPr>
      <t xml:space="preserve">福大前（</t>
    </r>
    <r>
      <rPr>
        <sz val="11"/>
        <color rgb="FF000000"/>
        <rFont val="Arial"/>
        <family val="0"/>
        <charset val="1"/>
      </rPr>
      <t xml:space="preserve">2023</t>
    </r>
    <r>
      <rPr>
        <sz val="11"/>
        <color rgb="FF000000"/>
        <rFont val="WenQuanYi Zen Hei"/>
        <family val="2"/>
      </rPr>
      <t xml:space="preserve">年</t>
    </r>
    <r>
      <rPr>
        <sz val="11"/>
        <color rgb="FF000000"/>
        <rFont val="Arial"/>
        <family val="0"/>
        <charset val="1"/>
      </rPr>
      <t xml:space="preserve">3</t>
    </r>
    <r>
      <rPr>
        <sz val="11"/>
        <color rgb="FF000000"/>
        <rFont val="WenQuanYi Zen Hei"/>
        <family val="2"/>
      </rPr>
      <t xml:space="preserve">月の七隈線延伸により、乗換駅は天神南駅から博多駅・同一駅構内に変更）。片道運賃は</t>
    </r>
    <r>
      <rPr>
        <sz val="11"/>
        <color rgb="FF000000"/>
        <rFont val="Arial"/>
        <family val="0"/>
        <charset val="1"/>
      </rPr>
      <t xml:space="preserve">650</t>
    </r>
    <r>
      <rPr>
        <sz val="11"/>
        <color rgb="FF000000"/>
        <rFont val="WenQuanYi Zen Hei"/>
        <family val="2"/>
      </rPr>
      <t xml:space="preserve">円（駅探の運賃検索結果に基づく、</t>
    </r>
    <r>
      <rPr>
        <sz val="11"/>
        <color rgb="FF000000"/>
        <rFont val="Arial"/>
        <family val="0"/>
        <charset val="1"/>
      </rPr>
      <t xml:space="preserve">JR</t>
    </r>
    <r>
      <rPr>
        <sz val="11"/>
        <color rgb="FF000000"/>
        <rFont val="WenQuanYi Zen Hei"/>
        <family val="2"/>
      </rPr>
      <t xml:space="preserve">～地下鉄の連絡運賃込みの通し運賃）。※各区間の単独運賃を単純合算すると</t>
    </r>
    <r>
      <rPr>
        <sz val="11"/>
        <color rgb="FF000000"/>
        <rFont val="Arial"/>
        <family val="0"/>
        <charset val="1"/>
      </rPr>
      <t xml:space="preserve">570</t>
    </r>
    <r>
      <rPr>
        <sz val="11"/>
        <color rgb="FF000000"/>
        <rFont val="WenQuanYi Zen Hei"/>
        <family val="2"/>
      </rPr>
      <t xml:space="preserve">円＋</t>
    </r>
    <r>
      <rPr>
        <sz val="11"/>
        <color rgb="FF000000"/>
        <rFont val="Arial"/>
        <family val="0"/>
        <charset val="1"/>
      </rPr>
      <t xml:space="preserve">300</t>
    </r>
    <r>
      <rPr>
        <sz val="11"/>
        <color rgb="FF000000"/>
        <rFont val="WenQuanYi Zen Hei"/>
        <family val="2"/>
      </rPr>
      <t xml:space="preserve">円＝</t>
    </r>
    <r>
      <rPr>
        <sz val="11"/>
        <color rgb="FF000000"/>
        <rFont val="Arial"/>
        <family val="0"/>
        <charset val="1"/>
      </rPr>
      <t xml:space="preserve">870</t>
    </r>
    <r>
      <rPr>
        <sz val="11"/>
        <color rgb="FF000000"/>
        <rFont val="WenQuanYi Zen Hei"/>
        <family val="2"/>
      </rPr>
      <t xml:space="preserve">円になりますが、これは実際の連絡運賃とは異なり過大な金額になるため使用しないでください。</t>
    </r>
    <r>
      <rPr>
        <sz val="11"/>
        <color rgb="FF000000"/>
        <rFont val="Arial"/>
        <family val="0"/>
        <charset val="1"/>
      </rPr>
      <t xml:space="preserve">650</t>
    </r>
    <r>
      <rPr>
        <sz val="11"/>
        <color rgb="FF000000"/>
        <rFont val="WenQuanYi Zen Hei"/>
        <family val="2"/>
      </rPr>
      <t xml:space="preserve">円は</t>
    </r>
    <r>
      <rPr>
        <sz val="11"/>
        <color rgb="FF000000"/>
        <rFont val="Arial"/>
        <family val="0"/>
        <charset val="1"/>
      </rPr>
      <t xml:space="preserve">2026</t>
    </r>
    <r>
      <rPr>
        <sz val="11"/>
        <color rgb="FF000000"/>
        <rFont val="WenQuanYi Zen Hei"/>
        <family val="2"/>
      </rPr>
      <t xml:space="preserve">年</t>
    </r>
    <r>
      <rPr>
        <sz val="11"/>
        <color rgb="FF000000"/>
        <rFont val="Arial"/>
        <family val="0"/>
        <charset val="1"/>
      </rPr>
      <t xml:space="preserve">8</t>
    </r>
    <r>
      <rPr>
        <sz val="11"/>
        <color rgb="FF000000"/>
        <rFont val="WenQuanYi Zen Hei"/>
        <family val="2"/>
      </rPr>
      <t xml:space="preserve">月時点の検索結果に基づく数値です。ご利用前に一度、</t>
    </r>
    <r>
      <rPr>
        <sz val="11"/>
        <color rgb="FF000000"/>
        <rFont val="Arial"/>
        <family val="0"/>
        <charset val="1"/>
      </rPr>
      <t xml:space="preserve">Yahoo!</t>
    </r>
    <r>
      <rPr>
        <sz val="11"/>
        <color rgb="FF000000"/>
        <rFont val="WenQuanYi Zen Hei"/>
        <family val="2"/>
      </rPr>
      <t xml:space="preserve">路線情報・駅探等の公式経路検索や</t>
    </r>
    <r>
      <rPr>
        <sz val="11"/>
        <color rgb="FF000000"/>
        <rFont val="Arial"/>
        <family val="0"/>
        <charset val="1"/>
      </rPr>
      <t xml:space="preserve">IC</t>
    </r>
    <r>
      <rPr>
        <sz val="11"/>
        <color rgb="FF000000"/>
        <rFont val="WenQuanYi Zen Hei"/>
        <family val="2"/>
      </rPr>
      <t xml:space="preserve">カード実乗車で最終確認をお願いします。</t>
    </r>
  </si>
  <si>
    <t xml:space="preserve">福岡徳洲会病院</t>
  </si>
  <si>
    <t xml:space="preserve">南福岡駅→西鉄バス</t>
  </si>
  <si>
    <r>
      <rPr>
        <sz val="11"/>
        <color rgb="FF000000"/>
        <rFont val="WenQuanYi Zen Hei"/>
        <family val="2"/>
      </rPr>
      <t xml:space="preserve">周船寺→</t>
    </r>
    <r>
      <rPr>
        <sz val="11"/>
        <color rgb="FF000000"/>
        <rFont val="Arial"/>
        <family val="0"/>
        <charset val="1"/>
      </rPr>
      <t xml:space="preserve">(JR</t>
    </r>
    <r>
      <rPr>
        <sz val="11"/>
        <color rgb="FF000000"/>
        <rFont val="WenQuanYi Zen Hei"/>
        <family val="2"/>
      </rPr>
      <t xml:space="preserve">筑肥線・地下鉄空港線直通</t>
    </r>
    <r>
      <rPr>
        <sz val="11"/>
        <color rgb="FF000000"/>
        <rFont val="Arial"/>
        <family val="0"/>
        <charset val="1"/>
      </rPr>
      <t xml:space="preserve">)→</t>
    </r>
    <r>
      <rPr>
        <sz val="11"/>
        <color rgb="FF000000"/>
        <rFont val="WenQuanYi Zen Hei"/>
        <family val="2"/>
      </rPr>
      <t xml:space="preserve">博多→</t>
    </r>
    <r>
      <rPr>
        <sz val="11"/>
        <color rgb="FF000000"/>
        <rFont val="Arial"/>
        <family val="0"/>
        <charset val="1"/>
      </rPr>
      <t xml:space="preserve">(JR</t>
    </r>
    <r>
      <rPr>
        <sz val="11"/>
        <color rgb="FF000000"/>
        <rFont val="WenQuanYi Zen Hei"/>
        <family val="2"/>
      </rPr>
      <t xml:space="preserve">鹿児島本線</t>
    </r>
    <r>
      <rPr>
        <sz val="11"/>
        <color rgb="FF000000"/>
        <rFont val="Arial"/>
        <family val="0"/>
        <charset val="1"/>
      </rPr>
      <t xml:space="preserve">)→</t>
    </r>
    <r>
      <rPr>
        <sz val="11"/>
        <color rgb="FF000000"/>
        <rFont val="WenQuanYi Zen Hei"/>
        <family val="2"/>
      </rPr>
      <t xml:space="preserve">南福岡→</t>
    </r>
    <r>
      <rPr>
        <sz val="11"/>
        <color rgb="FF000000"/>
        <rFont val="Arial"/>
        <family val="0"/>
        <charset val="1"/>
      </rPr>
      <t xml:space="preserve">(</t>
    </r>
    <r>
      <rPr>
        <sz val="11"/>
        <color rgb="FF000000"/>
        <rFont val="WenQuanYi Zen Hei"/>
        <family val="2"/>
      </rPr>
      <t xml:space="preserve">西鉄バス</t>
    </r>
    <r>
      <rPr>
        <sz val="11"/>
        <color rgb="FF000000"/>
        <rFont val="Arial"/>
        <family val="0"/>
        <charset val="1"/>
      </rPr>
      <t xml:space="preserve">45</t>
    </r>
    <r>
      <rPr>
        <sz val="11"/>
        <color rgb="FF000000"/>
        <rFont val="WenQuanYi Zen Hei"/>
        <family val="2"/>
      </rPr>
      <t xml:space="preserve">系統・約</t>
    </r>
    <r>
      <rPr>
        <sz val="11"/>
        <color rgb="FF000000"/>
        <rFont val="Arial"/>
        <family val="0"/>
        <charset val="1"/>
      </rPr>
      <t xml:space="preserve">8</t>
    </r>
    <r>
      <rPr>
        <sz val="11"/>
        <color rgb="FF000000"/>
        <rFont val="WenQuanYi Zen Hei"/>
        <family val="2"/>
      </rPr>
      <t xml:space="preserve">分</t>
    </r>
    <r>
      <rPr>
        <sz val="11"/>
        <color rgb="FF000000"/>
        <rFont val="Arial"/>
        <family val="0"/>
        <charset val="1"/>
      </rPr>
      <t xml:space="preserve">)→</t>
    </r>
    <r>
      <rPr>
        <sz val="11"/>
        <color rgb="FF000000"/>
        <rFont val="WenQuanYi Zen Hei"/>
        <family val="2"/>
      </rPr>
      <t xml:space="preserve">福岡徳洲会病院</t>
    </r>
  </si>
  <si>
    <r>
      <rPr>
        <sz val="11"/>
        <color rgb="FF000000"/>
        <rFont val="WenQuanYi Zen Hei"/>
        <family val="2"/>
      </rPr>
      <t xml:space="preserve">福岡徳洲会病院（春日市須玖北</t>
    </r>
    <r>
      <rPr>
        <sz val="11"/>
        <color rgb="FF000000"/>
        <rFont val="Arial"/>
        <family val="0"/>
        <charset val="1"/>
      </rPr>
      <t xml:space="preserve">4-5</t>
    </r>
    <r>
      <rPr>
        <sz val="11"/>
        <color rgb="FF000000"/>
        <rFont val="WenQuanYi Zen Hei"/>
        <family val="2"/>
      </rPr>
      <t xml:space="preserve">）は最寄り駅（南福岡駅・笹原駅）から徒歩</t>
    </r>
    <r>
      <rPr>
        <sz val="11"/>
        <color rgb="FF000000"/>
        <rFont val="Arial"/>
        <family val="0"/>
        <charset val="1"/>
      </rPr>
      <t xml:space="preserve">15</t>
    </r>
    <r>
      <rPr>
        <sz val="11"/>
        <color rgb="FF000000"/>
        <rFont val="WenQuanYi Zen Hei"/>
        <family val="2"/>
      </rPr>
      <t xml:space="preserve">～</t>
    </r>
    <r>
      <rPr>
        <sz val="11"/>
        <color rgb="FF000000"/>
        <rFont val="Arial"/>
        <family val="0"/>
        <charset val="1"/>
      </rPr>
      <t xml:space="preserve">20</t>
    </r>
    <r>
      <rPr>
        <sz val="11"/>
        <color rgb="FF000000"/>
        <rFont val="WenQuanYi Zen Hei"/>
        <family val="2"/>
      </rPr>
      <t xml:space="preserve">分と遠く、電車のみでは到達できないため、南福岡駅から西鉄バス</t>
    </r>
    <r>
      <rPr>
        <sz val="11"/>
        <color rgb="FF000000"/>
        <rFont val="Arial"/>
        <family val="0"/>
        <charset val="1"/>
      </rPr>
      <t xml:space="preserve">45</t>
    </r>
    <r>
      <rPr>
        <sz val="11"/>
        <color rgb="FF000000"/>
        <rFont val="WenQuanYi Zen Hei"/>
        <family val="2"/>
      </rPr>
      <t xml:space="preserve">系統（約</t>
    </r>
    <r>
      <rPr>
        <sz val="11"/>
        <color rgb="FF000000"/>
        <rFont val="Arial"/>
        <family val="0"/>
        <charset val="1"/>
      </rPr>
      <t xml:space="preserve">8</t>
    </r>
    <r>
      <rPr>
        <sz val="11"/>
        <color rgb="FF000000"/>
        <rFont val="WenQuanYi Zen Hei"/>
        <family val="2"/>
      </rPr>
      <t xml:space="preserve">分・</t>
    </r>
    <r>
      <rPr>
        <sz val="11"/>
        <color rgb="FF000000"/>
        <rFont val="Arial"/>
        <family val="0"/>
        <charset val="1"/>
      </rPr>
      <t xml:space="preserve">210</t>
    </r>
    <r>
      <rPr>
        <sz val="11"/>
        <color rgb="FF000000"/>
        <rFont val="WenQuanYi Zen Hei"/>
        <family val="2"/>
      </rPr>
      <t xml:space="preserve">円）に乗り継ぐ想定です。運賃は未入力です。周船寺～南福岡間は</t>
    </r>
    <r>
      <rPr>
        <sz val="11"/>
        <color rgb="FF000000"/>
        <rFont val="Arial"/>
        <family val="0"/>
        <charset val="1"/>
      </rPr>
      <t xml:space="preserve">JR</t>
    </r>
    <r>
      <rPr>
        <sz val="11"/>
        <color rgb="FF000000"/>
        <rFont val="WenQuanYi Zen Hei"/>
        <family val="2"/>
      </rPr>
      <t xml:space="preserve">筑肥線→地下鉄空港線→</t>
    </r>
    <r>
      <rPr>
        <sz val="11"/>
        <color rgb="FF000000"/>
        <rFont val="Arial"/>
        <family val="0"/>
        <charset val="1"/>
      </rPr>
      <t xml:space="preserve">JR</t>
    </r>
    <r>
      <rPr>
        <sz val="11"/>
        <color rgb="FF000000"/>
        <rFont val="WenQuanYi Zen Hei"/>
        <family val="2"/>
      </rPr>
      <t xml:space="preserve">鹿児島本線という</t>
    </r>
    <r>
      <rPr>
        <sz val="11"/>
        <color rgb="FF000000"/>
        <rFont val="Arial"/>
        <family val="0"/>
        <charset val="1"/>
      </rPr>
      <t xml:space="preserve">3</t>
    </r>
    <r>
      <rPr>
        <sz val="11"/>
        <color rgb="FF000000"/>
        <rFont val="WenQuanYi Zen Hei"/>
        <family val="2"/>
      </rPr>
      <t xml:space="preserve">社局にまたがる連絡運賃となり、区間ごとの単独運賃（周船寺～博多</t>
    </r>
    <r>
      <rPr>
        <sz val="11"/>
        <color rgb="FF000000"/>
        <rFont val="Arial"/>
        <family val="0"/>
        <charset val="1"/>
      </rPr>
      <t xml:space="preserve">570</t>
    </r>
    <r>
      <rPr>
        <sz val="11"/>
        <color rgb="FF000000"/>
        <rFont val="WenQuanYi Zen Hei"/>
        <family val="2"/>
      </rPr>
      <t xml:space="preserve">円＋博多～南福岡</t>
    </r>
    <r>
      <rPr>
        <sz val="11"/>
        <color rgb="FF000000"/>
        <rFont val="Arial"/>
        <family val="0"/>
        <charset val="1"/>
      </rPr>
      <t xml:space="preserve">270</t>
    </r>
    <r>
      <rPr>
        <sz val="11"/>
        <color rgb="FF000000"/>
        <rFont val="WenQuanYi Zen Hei"/>
        <family val="2"/>
      </rPr>
      <t xml:space="preserve">円）を単純合算すると実際の連絡運賃より高く出るおそれがあるため、正確な金額はここでは算出していません。ご利用前に</t>
    </r>
    <r>
      <rPr>
        <sz val="11"/>
        <color rgb="FF000000"/>
        <rFont val="Arial"/>
        <family val="0"/>
        <charset val="1"/>
      </rPr>
      <t xml:space="preserve">Yahoo!</t>
    </r>
    <r>
      <rPr>
        <sz val="11"/>
        <color rgb="FF000000"/>
        <rFont val="WenQuanYi Zen Hei"/>
        <family val="2"/>
      </rPr>
      <t xml:space="preserve">路線情報・駅探等で「周船寺→南福岡」の運賃を確認し、西鉄バス</t>
    </r>
    <r>
      <rPr>
        <sz val="11"/>
        <color rgb="FF000000"/>
        <rFont val="Arial"/>
        <family val="0"/>
        <charset val="1"/>
      </rPr>
      <t xml:space="preserve">210</t>
    </r>
    <r>
      <rPr>
        <sz val="11"/>
        <color rgb="FF000000"/>
        <rFont val="WenQuanYi Zen Hei"/>
        <family val="2"/>
      </rPr>
      <t xml:space="preserve">円を加えた金額を電車運賃欄に入力してください。</t>
    </r>
  </si>
  <si>
    <t xml:space="preserve">利用者</t>
  </si>
  <si>
    <t xml:space="preserve">（記入例）〇〇様</t>
  </si>
  <si>
    <t xml:space="preserve">△△バス停</t>
  </si>
  <si>
    <r>
      <rPr>
        <sz val="11"/>
        <color rgb="FF000000"/>
        <rFont val="WenQuanYi Zen Hei"/>
        <family val="2"/>
      </rPr>
      <t xml:space="preserve">周船寺→</t>
    </r>
    <r>
      <rPr>
        <sz val="11"/>
        <color rgb="FF000000"/>
        <rFont val="Arial"/>
        <family val="0"/>
        <charset val="1"/>
      </rPr>
      <t xml:space="preserve">(</t>
    </r>
    <r>
      <rPr>
        <sz val="11"/>
        <color rgb="FF000000"/>
        <rFont val="WenQuanYi Zen Hei"/>
        <family val="2"/>
      </rPr>
      <t xml:space="preserve">西鉄バス</t>
    </r>
    <r>
      <rPr>
        <sz val="11"/>
        <color rgb="FF000000"/>
        <rFont val="Arial"/>
        <family val="0"/>
        <charset val="1"/>
      </rPr>
      <t xml:space="preserve">)→△△</t>
    </r>
    <r>
      <rPr>
        <sz val="11"/>
        <color rgb="FF000000"/>
        <rFont val="WenQuanYi Zen Hei"/>
        <family val="2"/>
      </rPr>
      <t xml:space="preserve">バス停→</t>
    </r>
    <r>
      <rPr>
        <sz val="11"/>
        <color rgb="FF000000"/>
        <rFont val="Arial"/>
        <family val="0"/>
        <charset val="1"/>
      </rPr>
      <t xml:space="preserve">(</t>
    </r>
    <r>
      <rPr>
        <sz val="11"/>
        <color rgb="FF000000"/>
        <rFont val="WenQuanYi Zen Hei"/>
        <family val="2"/>
      </rPr>
      <t xml:space="preserve">徒歩</t>
    </r>
    <r>
      <rPr>
        <sz val="11"/>
        <color rgb="FF000000"/>
        <rFont val="Arial"/>
        <family val="0"/>
        <charset val="1"/>
      </rPr>
      <t xml:space="preserve">)</t>
    </r>
  </si>
  <si>
    <t xml:space="preserve">記入例です。実際の運賃・経路は現地または公式サイトで確認のうえ入力してください。</t>
  </si>
  <si>
    <t xml:space="preserve">交通費計算（周船寺駅発）</t>
  </si>
  <si>
    <t xml:space="preserve">事業所所在地</t>
  </si>
  <si>
    <t xml:space="preserve">福岡市西区周船寺</t>
  </si>
  <si>
    <t xml:space="preserve">出発地（最寄駅）</t>
  </si>
  <si>
    <t xml:space="preserve">周船寺駅</t>
  </si>
  <si>
    <t xml:space="preserve">① 目的地を選択</t>
  </si>
  <si>
    <t xml:space="preserve">② 訪問回数（往復・回）</t>
  </si>
  <si>
    <t xml:space="preserve">経路メモ</t>
  </si>
  <si>
    <t xml:space="preserve">③ 利用交通手段（判定）</t>
  </si>
  <si>
    <t xml:space="preserve">片道運賃（円）</t>
  </si>
  <si>
    <t xml:space="preserve">往復運賃（円）</t>
  </si>
  <si>
    <t xml:space="preserve">④ 合計交通費（円）</t>
  </si>
  <si>
    <t xml:space="preserve">備考（運賃マスタより）</t>
  </si>
  <si>
    <t xml:space="preserve">【使い方】</t>
  </si>
  <si>
    <r>
      <rPr>
        <i val="true"/>
        <sz val="9"/>
        <rFont val="Arial"/>
        <family val="0"/>
        <charset val="1"/>
      </rPr>
      <t xml:space="preserve">1. </t>
    </r>
    <r>
      <rPr>
        <i val="true"/>
        <sz val="9"/>
        <rFont val="WenQuanYi Zen Hei"/>
        <family val="2"/>
      </rPr>
      <t xml:space="preserve">「運賃マスタ」シートに、利用者・病院・施設ごとの経路と運賃（電車・バス）を登録してください。</t>
    </r>
  </si>
  <si>
    <r>
      <rPr>
        <i val="true"/>
        <sz val="9"/>
        <rFont val="Arial"/>
        <family val="0"/>
        <charset val="1"/>
      </rPr>
      <t xml:space="preserve">2. </t>
    </r>
    <r>
      <rPr>
        <i val="true"/>
        <sz val="9"/>
        <rFont val="WenQuanYi Zen Hei"/>
        <family val="2"/>
      </rPr>
      <t xml:space="preserve">このシートの黄色セル（目的地・訪問回数）を入力すると、運賃・合計交通費が自動計算されます。</t>
    </r>
  </si>
  <si>
    <r>
      <rPr>
        <i val="true"/>
        <sz val="9"/>
        <rFont val="Arial"/>
        <family val="0"/>
        <charset val="1"/>
      </rPr>
      <t xml:space="preserve">3. </t>
    </r>
    <r>
      <rPr>
        <i val="true"/>
        <sz val="9"/>
        <rFont val="WenQuanYi Zen Hei"/>
        <family val="2"/>
      </rPr>
      <t xml:space="preserve">電車運賃が登録されていれば電車、未登録の場合のみバス運賃で計算します（電車優先）。</t>
    </r>
  </si>
  <si>
    <r>
      <rPr>
        <i val="true"/>
        <sz val="9"/>
        <rFont val="Arial"/>
        <family val="0"/>
        <charset val="1"/>
      </rPr>
      <t xml:space="preserve">4. </t>
    </r>
    <r>
      <rPr>
        <i val="true"/>
        <sz val="9"/>
        <rFont val="WenQuanYi Zen Hei"/>
        <family val="2"/>
      </rPr>
      <t xml:space="preserve">黄色セルが入力欄、白セルは自動計算（数式）です。数式セルは編集しないでください。</t>
    </r>
  </si>
</sst>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b val="true"/>
      <sz val="11"/>
      <color rgb="FFFFFFFF"/>
      <name val="WenQuanYi Zen Hei"/>
      <family val="2"/>
    </font>
    <font>
      <sz val="11"/>
      <color rgb="FF000000"/>
      <name val="Arial"/>
      <family val="0"/>
      <charset val="1"/>
    </font>
    <font>
      <sz val="11"/>
      <color rgb="FF000000"/>
      <name val="WenQuanYi Zen Hei"/>
      <family val="2"/>
    </font>
    <font>
      <sz val="11"/>
      <color rgb="FF0000FF"/>
      <name val="Arial"/>
      <family val="0"/>
      <charset val="1"/>
    </font>
    <font>
      <sz val="10"/>
      <name val="WenQuanYi Zen Hei"/>
      <family val="2"/>
    </font>
    <font>
      <b val="true"/>
      <sz val="14"/>
      <name val="WenQuanYi Zen Hei"/>
      <family val="2"/>
    </font>
    <font>
      <b val="true"/>
      <sz val="11"/>
      <name val="WenQuanYi Zen Hei"/>
      <family val="2"/>
    </font>
    <font>
      <sz val="11"/>
      <color theme="1"/>
      <name val="WenQuanYi Zen Hei"/>
      <family val="2"/>
    </font>
    <font>
      <sz val="11"/>
      <color rgb="FF0000FF"/>
      <name val="WenQuanYi Zen Hei"/>
      <family val="2"/>
    </font>
    <font>
      <b val="true"/>
      <sz val="12"/>
      <name val="WenQuanYi Zen Hei"/>
      <family val="2"/>
    </font>
    <font>
      <b val="true"/>
      <sz val="12"/>
      <name val="Arial"/>
      <family val="0"/>
      <charset val="1"/>
    </font>
    <font>
      <i val="true"/>
      <sz val="9"/>
      <name val="Arial"/>
      <family val="0"/>
      <charset val="1"/>
    </font>
    <font>
      <i val="true"/>
      <sz val="9"/>
      <name val="WenQuanYi Zen Hei"/>
      <family val="2"/>
    </font>
    <font>
      <sz val="10"/>
      <name val="Arial"/>
      <family val="2"/>
    </font>
  </fonts>
  <fills count="5">
    <fill>
      <patternFill patternType="none"/>
    </fill>
    <fill>
      <patternFill patternType="gray125"/>
    </fill>
    <fill>
      <patternFill patternType="solid">
        <fgColor rgb="FF4472C4"/>
        <bgColor rgb="FF666699"/>
      </patternFill>
    </fill>
    <fill>
      <patternFill patternType="solid">
        <fgColor rgb="FFFFFFCC"/>
        <bgColor rgb="FFFFFFFF"/>
      </patternFill>
    </fill>
    <fill>
      <patternFill patternType="solid">
        <fgColor rgb="FFE2EFDA"/>
        <bgColor rgb="FFFFFFCC"/>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5" fontId="15" fillId="4"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4472C4"/>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6"/>
    <col collapsed="false" customWidth="true" hidden="false" outlineLevel="0" max="4" min="4" style="0" width="18"/>
    <col collapsed="false" customWidth="true" hidden="false" outlineLevel="0" max="5" min="5" style="0" width="46"/>
    <col collapsed="false" customWidth="true" hidden="false" outlineLevel="0" max="7" min="6" style="0" width="16"/>
    <col collapsed="false" customWidth="true" hidden="false" outlineLevel="0" max="8" min="8" style="0" width="46"/>
  </cols>
  <sheetData>
    <row r="1" customFormat="false" ht="30" hidden="false" customHeight="true" outlineLevel="0" collapsed="false">
      <c r="A1" s="1" t="s">
        <v>0</v>
      </c>
      <c r="B1" s="2" t="s">
        <v>1</v>
      </c>
      <c r="C1" s="2" t="s">
        <v>2</v>
      </c>
      <c r="D1" s="2" t="s">
        <v>3</v>
      </c>
      <c r="E1" s="2" t="s">
        <v>4</v>
      </c>
      <c r="F1" s="2" t="s">
        <v>5</v>
      </c>
      <c r="G1" s="2" t="s">
        <v>6</v>
      </c>
      <c r="H1" s="2" t="s">
        <v>7</v>
      </c>
    </row>
    <row r="2" customFormat="false" ht="189.55" hidden="false" customHeight="false" outlineLevel="0" collapsed="false">
      <c r="A2" s="3" t="n">
        <v>1</v>
      </c>
      <c r="B2" s="4" t="s">
        <v>8</v>
      </c>
      <c r="C2" s="4" t="s">
        <v>9</v>
      </c>
      <c r="D2" s="4" t="s">
        <v>10</v>
      </c>
      <c r="E2" s="4" t="s">
        <v>11</v>
      </c>
      <c r="F2" s="5" t="n">
        <v>650</v>
      </c>
      <c r="G2" s="5"/>
      <c r="H2" s="4" t="s">
        <v>12</v>
      </c>
    </row>
    <row r="3" customFormat="false" ht="149.25" hidden="false" customHeight="false" outlineLevel="0" collapsed="false">
      <c r="A3" s="3" t="n">
        <v>2</v>
      </c>
      <c r="B3" s="4" t="s">
        <v>8</v>
      </c>
      <c r="C3" s="4" t="s">
        <v>13</v>
      </c>
      <c r="D3" s="4" t="s">
        <v>14</v>
      </c>
      <c r="E3" s="4" t="s">
        <v>15</v>
      </c>
      <c r="F3" s="5"/>
      <c r="G3" s="5"/>
      <c r="H3" s="4" t="s">
        <v>16</v>
      </c>
    </row>
    <row r="4" customFormat="false" ht="28.35" hidden="false" customHeight="false" outlineLevel="0" collapsed="false">
      <c r="A4" s="3" t="n">
        <v>3</v>
      </c>
      <c r="B4" s="4" t="s">
        <v>17</v>
      </c>
      <c r="C4" s="4" t="s">
        <v>18</v>
      </c>
      <c r="D4" s="4" t="s">
        <v>19</v>
      </c>
      <c r="E4" s="4" t="s">
        <v>20</v>
      </c>
      <c r="F4" s="5"/>
      <c r="G4" s="5" t="n">
        <v>420</v>
      </c>
      <c r="H4" s="4" t="s">
        <v>21</v>
      </c>
    </row>
    <row r="5" customFormat="false" ht="15" hidden="false" customHeight="false" outlineLevel="0" collapsed="false">
      <c r="A5" s="0" t="n">
        <v>4</v>
      </c>
      <c r="B5" s="6"/>
      <c r="C5" s="6"/>
      <c r="D5" s="6"/>
      <c r="E5" s="6"/>
      <c r="F5" s="7"/>
      <c r="G5" s="7"/>
      <c r="H5" s="6"/>
    </row>
    <row r="6" customFormat="false" ht="15" hidden="false" customHeight="false" outlineLevel="0" collapsed="false">
      <c r="A6" s="0" t="n">
        <v>5</v>
      </c>
      <c r="B6" s="6"/>
      <c r="C6" s="6"/>
      <c r="D6" s="6"/>
      <c r="E6" s="6"/>
      <c r="F6" s="7"/>
      <c r="G6" s="7"/>
      <c r="H6" s="6"/>
    </row>
    <row r="7" customFormat="false" ht="15" hidden="false" customHeight="false" outlineLevel="0" collapsed="false">
      <c r="A7" s="0" t="n">
        <v>6</v>
      </c>
      <c r="B7" s="6"/>
      <c r="C7" s="6"/>
      <c r="D7" s="6"/>
      <c r="E7" s="6"/>
      <c r="F7" s="7"/>
      <c r="G7" s="7"/>
      <c r="H7" s="6"/>
    </row>
    <row r="8" customFormat="false" ht="15" hidden="false" customHeight="false" outlineLevel="0" collapsed="false">
      <c r="A8" s="0" t="n">
        <v>7</v>
      </c>
      <c r="B8" s="6"/>
      <c r="C8" s="6"/>
      <c r="D8" s="6"/>
      <c r="E8" s="6"/>
      <c r="F8" s="7"/>
      <c r="G8" s="7"/>
      <c r="H8" s="6"/>
    </row>
    <row r="9" customFormat="false" ht="15" hidden="false" customHeight="false" outlineLevel="0" collapsed="false">
      <c r="A9" s="0" t="n">
        <v>8</v>
      </c>
      <c r="B9" s="6"/>
      <c r="C9" s="6"/>
      <c r="D9" s="6"/>
      <c r="E9" s="6"/>
      <c r="F9" s="7"/>
      <c r="G9" s="7"/>
      <c r="H9" s="6"/>
    </row>
    <row r="10" customFormat="false" ht="15" hidden="false" customHeight="false" outlineLevel="0" collapsed="false">
      <c r="A10" s="0" t="n">
        <v>9</v>
      </c>
      <c r="B10" s="6"/>
      <c r="C10" s="6"/>
      <c r="D10" s="6"/>
      <c r="E10" s="6"/>
      <c r="F10" s="7"/>
      <c r="G10" s="7"/>
      <c r="H10" s="6"/>
    </row>
    <row r="11" customFormat="false" ht="15" hidden="false" customHeight="false" outlineLevel="0" collapsed="false">
      <c r="A11" s="0" t="n">
        <v>10</v>
      </c>
      <c r="B11" s="6"/>
      <c r="C11" s="6"/>
      <c r="D11" s="6"/>
      <c r="E11" s="6"/>
      <c r="F11" s="7"/>
      <c r="G11" s="7"/>
      <c r="H11" s="6"/>
    </row>
    <row r="12" customFormat="false" ht="15" hidden="false" customHeight="false" outlineLevel="0" collapsed="false">
      <c r="A12" s="0" t="n">
        <v>11</v>
      </c>
      <c r="B12" s="6"/>
      <c r="C12" s="6"/>
      <c r="D12" s="6"/>
      <c r="E12" s="6"/>
      <c r="F12" s="7"/>
      <c r="G12" s="7"/>
      <c r="H12" s="6"/>
    </row>
    <row r="13" customFormat="false" ht="15" hidden="false" customHeight="false" outlineLevel="0" collapsed="false">
      <c r="A13" s="0" t="n">
        <v>12</v>
      </c>
      <c r="B13" s="6"/>
      <c r="C13" s="6"/>
      <c r="D13" s="6"/>
      <c r="E13" s="6"/>
      <c r="F13" s="7"/>
      <c r="G13" s="7"/>
      <c r="H13" s="6"/>
    </row>
    <row r="14" customFormat="false" ht="15" hidden="false" customHeight="false" outlineLevel="0" collapsed="false">
      <c r="A14" s="0" t="n">
        <v>13</v>
      </c>
      <c r="B14" s="6"/>
      <c r="C14" s="6"/>
      <c r="D14" s="6"/>
      <c r="E14" s="6"/>
      <c r="F14" s="7"/>
      <c r="G14" s="7"/>
      <c r="H14" s="6"/>
    </row>
    <row r="15" customFormat="false" ht="15" hidden="false" customHeight="false" outlineLevel="0" collapsed="false">
      <c r="A15" s="0" t="n">
        <v>14</v>
      </c>
      <c r="B15" s="6"/>
      <c r="C15" s="6"/>
      <c r="D15" s="6"/>
      <c r="E15" s="6"/>
      <c r="F15" s="7"/>
      <c r="G15" s="7"/>
      <c r="H15" s="6"/>
    </row>
    <row r="16" customFormat="false" ht="15" hidden="false" customHeight="false" outlineLevel="0" collapsed="false">
      <c r="A16" s="0" t="n">
        <v>15</v>
      </c>
      <c r="B16" s="6"/>
      <c r="C16" s="6"/>
      <c r="D16" s="6"/>
      <c r="E16" s="6"/>
      <c r="F16" s="7"/>
      <c r="G16" s="7"/>
      <c r="H16" s="6"/>
    </row>
    <row r="17" customFormat="false" ht="15" hidden="false" customHeight="false" outlineLevel="0" collapsed="false">
      <c r="A17" s="0" t="n">
        <v>16</v>
      </c>
      <c r="B17" s="6"/>
      <c r="C17" s="6"/>
      <c r="D17" s="6"/>
      <c r="E17" s="6"/>
      <c r="F17" s="7"/>
      <c r="G17" s="7"/>
      <c r="H17" s="6"/>
    </row>
    <row r="18" customFormat="false" ht="15" hidden="false" customHeight="false" outlineLevel="0" collapsed="false">
      <c r="A18" s="0" t="n">
        <v>17</v>
      </c>
      <c r="B18" s="6"/>
      <c r="C18" s="6"/>
      <c r="D18" s="6"/>
      <c r="E18" s="6"/>
      <c r="F18" s="7"/>
      <c r="G18" s="7"/>
      <c r="H18" s="6"/>
    </row>
    <row r="19" customFormat="false" ht="15" hidden="false" customHeight="false" outlineLevel="0" collapsed="false">
      <c r="A19" s="0" t="n">
        <v>18</v>
      </c>
      <c r="B19" s="6"/>
      <c r="C19" s="6"/>
      <c r="D19" s="6"/>
      <c r="E19" s="6"/>
      <c r="F19" s="7"/>
      <c r="G19" s="7"/>
      <c r="H19" s="6"/>
    </row>
    <row r="20" customFormat="false" ht="15" hidden="false" customHeight="false" outlineLevel="0" collapsed="false">
      <c r="A20" s="0" t="n">
        <v>19</v>
      </c>
      <c r="B20" s="6"/>
      <c r="C20" s="6"/>
      <c r="D20" s="6"/>
      <c r="E20" s="6"/>
      <c r="F20" s="7"/>
      <c r="G20" s="7"/>
      <c r="H20" s="6"/>
    </row>
    <row r="21" customFormat="false" ht="15" hidden="false" customHeight="false" outlineLevel="0" collapsed="false">
      <c r="A21" s="0" t="n">
        <v>20</v>
      </c>
      <c r="B21" s="6"/>
      <c r="C21" s="6"/>
      <c r="D21" s="6"/>
      <c r="E21" s="6"/>
      <c r="F21" s="7"/>
      <c r="G21" s="7"/>
      <c r="H21" s="6"/>
    </row>
  </sheetData>
  <dataValidations count="1">
    <dataValidation allowBlank="true" errorStyle="stop" operator="between" showDropDown="false" showErrorMessage="false" showInputMessage="false" sqref="B2:B21" type="list">
      <formula1>"利用者,病院,施設"</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
    <col collapsed="false" customWidth="true" hidden="false" outlineLevel="0" max="3" min="3" style="0" width="46"/>
    <col collapsed="false" customWidth="true" hidden="false" outlineLevel="0" max="4" min="4" style="0" width="30"/>
  </cols>
  <sheetData>
    <row r="1" customFormat="false" ht="17.35" hidden="false" customHeight="false" outlineLevel="0" collapsed="false">
      <c r="A1" s="8" t="s">
        <v>22</v>
      </c>
      <c r="B1" s="8"/>
      <c r="C1" s="8"/>
      <c r="D1" s="8"/>
    </row>
    <row r="3" customFormat="false" ht="15" hidden="false" customHeight="false" outlineLevel="0" collapsed="false">
      <c r="A3" s="9" t="s">
        <v>23</v>
      </c>
      <c r="C3" s="10" t="s">
        <v>24</v>
      </c>
    </row>
    <row r="4" customFormat="false" ht="15" hidden="false" customHeight="false" outlineLevel="0" collapsed="false">
      <c r="A4" s="9" t="s">
        <v>25</v>
      </c>
      <c r="C4" s="10" t="s">
        <v>26</v>
      </c>
    </row>
    <row r="5" customFormat="false" ht="15" hidden="false" customHeight="false" outlineLevel="0" collapsed="false">
      <c r="A5" s="6"/>
      <c r="C5" s="6"/>
    </row>
    <row r="6" customFormat="false" ht="15" hidden="false" customHeight="false" outlineLevel="0" collapsed="false">
      <c r="A6" s="9" t="s">
        <v>27</v>
      </c>
      <c r="C6" s="11" t="s">
        <v>9</v>
      </c>
    </row>
    <row r="7" customFormat="false" ht="15" hidden="false" customHeight="false" outlineLevel="0" collapsed="false">
      <c r="A7" s="9" t="s">
        <v>28</v>
      </c>
      <c r="C7" s="7" t="n">
        <v>1</v>
      </c>
    </row>
    <row r="8" customFormat="false" ht="15" hidden="false" customHeight="false" outlineLevel="0" collapsed="false">
      <c r="A8" s="6"/>
      <c r="C8" s="6"/>
    </row>
    <row r="9" customFormat="false" ht="15" hidden="false" customHeight="false" outlineLevel="0" collapsed="false">
      <c r="A9" s="9" t="s">
        <v>3</v>
      </c>
      <c r="C9" s="12" t="str">
        <f aca="false">IFERROR(INDEX(運賃マスタ!$D$2:$D$21,MATCH($C$6,運賃マスタ!$C$2:$C$21,0)),"")</f>
        <v>福大前駅</v>
      </c>
    </row>
    <row r="10" customFormat="false" ht="15" hidden="false" customHeight="false" outlineLevel="0" collapsed="false">
      <c r="A10" s="9" t="s">
        <v>29</v>
      </c>
      <c r="C10" s="12" t="str">
        <f aca="false">IFERROR(INDEX(運賃マスタ!$E$2:$E$21,MATCH($C$6,運賃マスタ!$C$2:$C$21,0)),"")</f>
        <v>周船寺→(JR筑肥線)→姪浜→(地下鉄空港線 直通)→博多(同一駅構内で乗換)→(地下鉄七隈線)→福大前→(徒歩約1分)</v>
      </c>
    </row>
    <row r="11" customFormat="false" ht="15" hidden="false" customHeight="false" outlineLevel="0" collapsed="false">
      <c r="A11" s="9" t="s">
        <v>5</v>
      </c>
      <c r="C11" s="12" t="n">
        <f aca="false">IFERROR(INDEX(運賃マスタ!$F$2:$F$21,MATCH($C$6,運賃マスタ!$C$2:$C$21,0)),0)</f>
        <v>650</v>
      </c>
    </row>
    <row r="12" customFormat="false" ht="15" hidden="false" customHeight="false" outlineLevel="0" collapsed="false">
      <c r="A12" s="9" t="s">
        <v>6</v>
      </c>
      <c r="C12" s="12" t="n">
        <f aca="false">IFERROR(INDEX(運賃マスタ!$G$2:$G$21,MATCH($C$6,運賃マスタ!$C$2:$C$21,0)),0)</f>
        <v>0</v>
      </c>
    </row>
    <row r="13" customFormat="false" ht="15" hidden="false" customHeight="false" outlineLevel="0" collapsed="false">
      <c r="A13" s="9" t="s">
        <v>30</v>
      </c>
      <c r="C13" s="12" t="str">
        <f aca="false">IF(C11&gt;0,"電車",IF(C12&gt;0,"バス","要確認（運賃マスタ未入力）"))</f>
        <v>電車</v>
      </c>
    </row>
    <row r="14" customFormat="false" ht="15" hidden="false" customHeight="false" outlineLevel="0" collapsed="false">
      <c r="A14" s="9" t="s">
        <v>31</v>
      </c>
      <c r="C14" s="12" t="n">
        <f aca="false">IF(C11&gt;0,C11,IF(C12&gt;0,C12,"要確認"))</f>
        <v>650</v>
      </c>
    </row>
    <row r="15" customFormat="false" ht="15" hidden="false" customHeight="false" outlineLevel="0" collapsed="false">
      <c r="A15" s="9" t="s">
        <v>32</v>
      </c>
      <c r="C15" s="12" t="n">
        <f aca="false">IF(ISNUMBER(C14),C14*2,"要確認")</f>
        <v>1300</v>
      </c>
    </row>
    <row r="16" customFormat="false" ht="15" hidden="false" customHeight="false" outlineLevel="0" collapsed="false">
      <c r="A16" s="13" t="s">
        <v>33</v>
      </c>
      <c r="C16" s="14" t="n">
        <f aca="false">IF(ISNUMBER(C15),C15*C7,"要確認")</f>
        <v>1300</v>
      </c>
    </row>
    <row r="17" customFormat="false" ht="15" hidden="false" customHeight="false" outlineLevel="0" collapsed="false">
      <c r="A17" s="6"/>
      <c r="C17" s="6"/>
    </row>
    <row r="18" customFormat="false" ht="60" hidden="false" customHeight="true" outlineLevel="0" collapsed="false">
      <c r="A18" s="9" t="s">
        <v>34</v>
      </c>
      <c r="C18" s="15" t="str">
        <f aca="false">IFERROR(INDEX(運賃マスタ!$H$2:$H$21,MATCH($C$6,運賃マスタ!$C$2:$C$21,0)),"")</f>
        <v>最寄り駅は「福大前」駅（福岡市地下鉄七隈線）です。「福岡大学病院前」という駅名ではないのでご注意ください（福大前駅は福岡大学と福岡大学病院に挟まれた場所にあり、病院までは徒歩約1分）。推奨ルート：周船寺→(JR筑肥線)→姪浜→(地下鉄空港線 直通)→博多→(地下鉄七隈線)→福大前（2023年3月の七隈線延伸により、乗換駅は天神南駅から博多駅・同一駅構内に変更）。片道運賃は650円（駅探の運賃検索結果に基づく、JR～地下鉄の連絡運賃込みの通し運賃）。※各区間の単独運賃を単純合算すると570円＋300円＝870円になりますが、これは実際の連絡運賃とは異なり過大な金額になるため使用しないでください。650円は2026年8月時点の検索結果に基づく数値です。ご利用前に一度、Yahoo!路線情報・駅探等の公式経路検索やICカード実乗車で最終確認をお願いします。</v>
      </c>
    </row>
    <row r="20" customFormat="false" ht="15" hidden="false" customHeight="false" outlineLevel="0" collapsed="false">
      <c r="A20" s="16" t="s">
        <v>35</v>
      </c>
    </row>
    <row r="21" customFormat="false" ht="13.4" hidden="false" customHeight="false" outlineLevel="0" collapsed="false">
      <c r="A21" s="17" t="s">
        <v>36</v>
      </c>
      <c r="B21" s="17"/>
      <c r="C21" s="17"/>
      <c r="D21" s="17"/>
    </row>
    <row r="22" customFormat="false" ht="13.4" hidden="false" customHeight="false" outlineLevel="0" collapsed="false">
      <c r="A22" s="17" t="s">
        <v>37</v>
      </c>
      <c r="B22" s="17"/>
      <c r="C22" s="17"/>
      <c r="D22" s="17"/>
    </row>
    <row r="23" customFormat="false" ht="13.4" hidden="false" customHeight="false" outlineLevel="0" collapsed="false">
      <c r="A23" s="17" t="s">
        <v>38</v>
      </c>
      <c r="B23" s="17"/>
      <c r="C23" s="17"/>
      <c r="D23" s="17"/>
    </row>
    <row r="24" customFormat="false" ht="13.4" hidden="false" customHeight="false" outlineLevel="0" collapsed="false">
      <c r="A24" s="17" t="s">
        <v>39</v>
      </c>
      <c r="B24" s="17"/>
      <c r="C24" s="17"/>
      <c r="D24" s="17"/>
    </row>
  </sheetData>
  <mergeCells count="5">
    <mergeCell ref="A1:D1"/>
    <mergeCell ref="A21:D21"/>
    <mergeCell ref="A22:D22"/>
    <mergeCell ref="A23:D23"/>
    <mergeCell ref="A24:D24"/>
  </mergeCells>
  <dataValidations count="1">
    <dataValidation allowBlank="true" errorStyle="stop" operator="between" showDropDown="false" showErrorMessage="false" showInputMessage="false" sqref="C6" type="list">
      <formula1>運賃マスタ!$C$2:$C$21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2026-08-26T05:26:51Z</dcterms:created>
  <dc:creator>openpyxl</dc:creator>
  <dc:description/>
  <dc:language>en-US</dc:language>
  <cp:lastModifiedBy/>
  <dcterms:modified xsi:type="dcterms:W3CDTF">2026-08-26T05:26:51Z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