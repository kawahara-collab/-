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運賃マスタ" sheetId="1" state="visible" r:id="rId3"/>
    <sheet name="交通費計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WenQuanYi Zen Hei"/>
            <family val="2"/>
          </rPr>
          <t xml:space="preserve">入力欄（黄色・青字）：目的地までの電車の片道運賃（円）を入力してください。電車ルートがない場合は空欄のままにしてください。</t>
        </r>
      </text>
    </comment>
    <comment ref="G1" authorId="0">
      <text>
        <r>
          <rPr>
            <sz val="10"/>
            <rFont val="WenQuanYi Zen Hei"/>
            <family val="2"/>
          </rPr>
          <t xml:space="preserve">入力欄（黄色・青字）：目的地までのバスの片道運賃（円）を入力してください。「交通費計算」シートでは電車運賃が入力されていればそちらを優先し、電車運賃が空欄の場合のみバス運賃を使用します。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WenQuanYi Zen Hei"/>
            <family val="2"/>
          </rPr>
          <t xml:space="preserve">入力欄：プルダウンから目的地を選択してください。一覧にない目的地は「運賃マスタ」シートに新しい行を追加してください。</t>
        </r>
      </text>
    </comment>
    <comment ref="C13" authorId="0">
      <text>
        <r>
          <rPr>
            <sz val="10"/>
            <rFont val="WenQuanYi Zen Hei"/>
            <family val="2"/>
          </rPr>
          <t xml:space="preserve">電車運賃（片道・円）が入力されていれば電車を優先し、電車運賃が未入力（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WenQuanYi Zen Hei"/>
            <family val="2"/>
          </rPr>
          <t xml:space="preserve">）の場合のみバス運賃を使用します。</t>
        </r>
      </text>
    </comment>
  </commentList>
</comments>
</file>

<file path=xl/sharedStrings.xml><?xml version="1.0" encoding="utf-8"?>
<sst xmlns="http://schemas.openxmlformats.org/spreadsheetml/2006/main" count="40" uniqueCount="36">
  <si>
    <t xml:space="preserve">No.</t>
  </si>
  <si>
    <t xml:space="preserve">種別</t>
  </si>
  <si>
    <t xml:space="preserve">目的地名（利用者・病院・施設）</t>
  </si>
  <si>
    <t xml:space="preserve">最寄り駅・バス停</t>
  </si>
  <si>
    <t xml:space="preserve">経路メモ（周船寺駅→目的地）</t>
  </si>
  <si>
    <t xml:space="preserve">電車運賃（片道・円）</t>
  </si>
  <si>
    <t xml:space="preserve">バス運賃（片道・円）</t>
  </si>
  <si>
    <t xml:space="preserve">確認日・出典・備考</t>
  </si>
  <si>
    <t xml:space="preserve">病院</t>
  </si>
  <si>
    <t xml:space="preserve">福岡大学病院</t>
  </si>
  <si>
    <t xml:space="preserve">福大前駅</t>
  </si>
  <si>
    <r>
      <rPr>
        <sz val="11"/>
        <color rgb="FF000000"/>
        <rFont val="WenQuanYi Zen Hei"/>
        <family val="2"/>
      </rPr>
      <t xml:space="preserve">周船寺→</t>
    </r>
    <r>
      <rPr>
        <sz val="11"/>
        <color rgb="FF000000"/>
        <rFont val="Arial"/>
        <family val="0"/>
        <charset val="1"/>
      </rPr>
      <t xml:space="preserve">(JR</t>
    </r>
    <r>
      <rPr>
        <sz val="11"/>
        <color rgb="FF000000"/>
        <rFont val="WenQuanYi Zen Hei"/>
        <family val="2"/>
      </rPr>
      <t xml:space="preserve">筑肥線・地下鉄空港線 直通</t>
    </r>
    <r>
      <rPr>
        <sz val="11"/>
        <color rgb="FF000000"/>
        <rFont val="Arial"/>
        <family val="0"/>
        <charset val="1"/>
      </rPr>
      <t xml:space="preserve">)→</t>
    </r>
    <r>
      <rPr>
        <sz val="11"/>
        <color rgb="FF000000"/>
        <rFont val="WenQuanYi Zen Hei"/>
        <family val="2"/>
      </rPr>
      <t xml:space="preserve">天神→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徒歩</t>
    </r>
    <r>
      <rPr>
        <sz val="11"/>
        <color rgb="FF000000"/>
        <rFont val="Arial"/>
        <family val="0"/>
        <charset val="1"/>
      </rPr>
      <t xml:space="preserve">)→</t>
    </r>
    <r>
      <rPr>
        <sz val="11"/>
        <color rgb="FF000000"/>
        <rFont val="WenQuanYi Zen Hei"/>
        <family val="2"/>
      </rPr>
      <t xml:space="preserve">天神南→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地下鉄七隈線</t>
    </r>
    <r>
      <rPr>
        <sz val="11"/>
        <color rgb="FF000000"/>
        <rFont val="Arial"/>
        <family val="0"/>
        <charset val="1"/>
      </rPr>
      <t xml:space="preserve">)→</t>
    </r>
    <r>
      <rPr>
        <sz val="11"/>
        <color rgb="FF000000"/>
        <rFont val="WenQuanYi Zen Hei"/>
        <family val="2"/>
      </rPr>
      <t xml:space="preserve">福大前→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徒歩約</t>
    </r>
    <r>
      <rPr>
        <sz val="11"/>
        <color rgb="FF000000"/>
        <rFont val="Arial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分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</si>
  <si>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WenQuanYi Zen Hei"/>
        <family val="2"/>
      </rPr>
      <t xml:space="preserve">周船寺～天神間は</t>
    </r>
    <r>
      <rPr>
        <sz val="11"/>
        <color rgb="FF000000"/>
        <rFont val="Arial"/>
        <family val="0"/>
        <charset val="1"/>
      </rPr>
      <t xml:space="preserve">570</t>
    </r>
    <r>
      <rPr>
        <sz val="11"/>
        <color rgb="FF000000"/>
        <rFont val="WenQuanYi Zen Hei"/>
        <family val="2"/>
      </rPr>
      <t xml:space="preserve">円（</t>
    </r>
    <r>
      <rPr>
        <sz val="11"/>
        <color rgb="FF000000"/>
        <rFont val="Arial"/>
        <family val="0"/>
        <charset val="1"/>
      </rPr>
      <t xml:space="preserve">JR</t>
    </r>
    <r>
      <rPr>
        <sz val="11"/>
        <color rgb="FF000000"/>
        <rFont val="WenQuanYi Zen Hei"/>
        <family val="2"/>
      </rPr>
      <t xml:space="preserve">筑肥線</t>
    </r>
    <r>
      <rPr>
        <sz val="11"/>
        <color rgb="FF000000"/>
        <rFont val="Arial"/>
        <family val="0"/>
        <charset val="1"/>
      </rPr>
      <t xml:space="preserve">270</t>
    </r>
    <r>
      <rPr>
        <sz val="11"/>
        <color rgb="FF000000"/>
        <rFont val="WenQuanYi Zen Hei"/>
        <family val="2"/>
      </rPr>
      <t xml:space="preserve">円＋福岡市地下鉄空港線</t>
    </r>
    <r>
      <rPr>
        <sz val="11"/>
        <color rgb="FF000000"/>
        <rFont val="Arial"/>
        <family val="0"/>
        <charset val="1"/>
      </rPr>
      <t xml:space="preserve">300</t>
    </r>
    <r>
      <rPr>
        <sz val="11"/>
        <color rgb="FF000000"/>
        <rFont val="WenQuanYi Zen Hei"/>
        <family val="2"/>
      </rPr>
      <t xml:space="preserve">円、乗換なしの直通、</t>
    </r>
    <r>
      <rPr>
        <sz val="11"/>
        <color rgb="FF000000"/>
        <rFont val="Arial"/>
        <family val="0"/>
        <charset val="1"/>
      </rPr>
      <t xml:space="preserve">2026</t>
    </r>
    <r>
      <rPr>
        <sz val="11"/>
        <color rgb="FF000000"/>
        <rFont val="WenQuanYi Zen Hei"/>
        <family val="2"/>
      </rPr>
      <t xml:space="preserve">年</t>
    </r>
    <r>
      <rPr>
        <sz val="11"/>
        <color rgb="FF000000"/>
        <rFont val="Arial"/>
        <family val="0"/>
        <charset val="1"/>
      </rPr>
      <t xml:space="preserve">8</t>
    </r>
    <r>
      <rPr>
        <sz val="11"/>
        <color rgb="FF000000"/>
        <rFont val="WenQuanYi Zen Hei"/>
        <family val="2"/>
      </rPr>
      <t xml:space="preserve">月時点の検索結果に基づく）まで確認済み。天神～天神南駅間は徒歩連絡のため運賃加算なし。天神南～福大前駅（地下鉄七隈線）の運賃、およびバス利用時の経路・運賃は未確認です。ご利用前に</t>
    </r>
    <r>
      <rPr>
        <sz val="11"/>
        <color rgb="FF000000"/>
        <rFont val="Arial"/>
        <family val="0"/>
        <charset val="1"/>
      </rPr>
      <t xml:space="preserve">Yahoo!</t>
    </r>
    <r>
      <rPr>
        <sz val="11"/>
        <color rgb="FF000000"/>
        <rFont val="WenQuanYi Zen Hei"/>
        <family val="2"/>
      </rPr>
      <t xml:space="preserve">路線情報・駅探等の公式経路検索で最終確認のうえ、電車運賃・バス運賃欄（黄色セル）に金額を入力してください。</t>
    </r>
  </si>
  <si>
    <t xml:space="preserve">利用者</t>
  </si>
  <si>
    <t xml:space="preserve">（記入例）〇〇様</t>
  </si>
  <si>
    <t xml:space="preserve">△△バス停</t>
  </si>
  <si>
    <r>
      <rPr>
        <sz val="11"/>
        <color rgb="FF000000"/>
        <rFont val="WenQuanYi Zen Hei"/>
        <family val="2"/>
      </rPr>
      <t xml:space="preserve">周船寺→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西鉄バス</t>
    </r>
    <r>
      <rPr>
        <sz val="11"/>
        <color rgb="FF000000"/>
        <rFont val="Arial"/>
        <family val="0"/>
        <charset val="1"/>
      </rPr>
      <t xml:space="preserve">)→△△</t>
    </r>
    <r>
      <rPr>
        <sz val="11"/>
        <color rgb="FF000000"/>
        <rFont val="WenQuanYi Zen Hei"/>
        <family val="2"/>
      </rPr>
      <t xml:space="preserve">バス停→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WenQuanYi Zen Hei"/>
        <family val="2"/>
      </rPr>
      <t xml:space="preserve">徒歩</t>
    </r>
    <r>
      <rPr>
        <sz val="11"/>
        <color rgb="FF000000"/>
        <rFont val="Arial"/>
        <family val="0"/>
        <charset val="1"/>
      </rPr>
      <t xml:space="preserve">)</t>
    </r>
  </si>
  <si>
    <t xml:space="preserve">記入例です。実際の運賃・経路は現地または公式サイトで確認のうえ入力してください。</t>
  </si>
  <si>
    <t xml:space="preserve">交通費計算（周船寺駅発）</t>
  </si>
  <si>
    <t xml:space="preserve">事業所所在地</t>
  </si>
  <si>
    <t xml:space="preserve">福岡市西区周船寺</t>
  </si>
  <si>
    <t xml:space="preserve">出発地（最寄駅）</t>
  </si>
  <si>
    <t xml:space="preserve">周船寺駅</t>
  </si>
  <si>
    <t xml:space="preserve">① 目的地を選択</t>
  </si>
  <si>
    <t xml:space="preserve">② 訪問回数（往復・回）</t>
  </si>
  <si>
    <t xml:space="preserve">経路メモ</t>
  </si>
  <si>
    <t xml:space="preserve">③ 利用交通手段（判定）</t>
  </si>
  <si>
    <t xml:space="preserve">片道運賃（円）</t>
  </si>
  <si>
    <t xml:space="preserve">往復運賃（円）</t>
  </si>
  <si>
    <t xml:space="preserve">④ 合計交通費（円）</t>
  </si>
  <si>
    <t xml:space="preserve">備考（運賃マスタより）</t>
  </si>
  <si>
    <t xml:space="preserve">【使い方】</t>
  </si>
  <si>
    <r>
      <rPr>
        <i val="true"/>
        <sz val="9"/>
        <rFont val="Arial"/>
        <family val="0"/>
        <charset val="1"/>
      </rPr>
      <t xml:space="preserve">1. </t>
    </r>
    <r>
      <rPr>
        <i val="true"/>
        <sz val="9"/>
        <rFont val="WenQuanYi Zen Hei"/>
        <family val="2"/>
      </rPr>
      <t xml:space="preserve">「運賃マスタ」シートに、利用者・病院・施設ごとの経路と運賃（電車・バス）を登録してください。</t>
    </r>
  </si>
  <si>
    <r>
      <rPr>
        <i val="true"/>
        <sz val="9"/>
        <rFont val="Arial"/>
        <family val="0"/>
        <charset val="1"/>
      </rPr>
      <t xml:space="preserve">2. </t>
    </r>
    <r>
      <rPr>
        <i val="true"/>
        <sz val="9"/>
        <rFont val="WenQuanYi Zen Hei"/>
        <family val="2"/>
      </rPr>
      <t xml:space="preserve">このシートの黄色セル（目的地・訪問回数）を入力すると、運賃・合計交通費が自動計算されます。</t>
    </r>
  </si>
  <si>
    <r>
      <rPr>
        <i val="true"/>
        <sz val="9"/>
        <rFont val="Arial"/>
        <family val="0"/>
        <charset val="1"/>
      </rPr>
      <t xml:space="preserve">3. </t>
    </r>
    <r>
      <rPr>
        <i val="true"/>
        <sz val="9"/>
        <rFont val="WenQuanYi Zen Hei"/>
        <family val="2"/>
      </rPr>
      <t xml:space="preserve">電車運賃が登録されていれば電車、未登録の場合のみバス運賃で計算します（電車優先）。</t>
    </r>
  </si>
  <si>
    <r>
      <rPr>
        <i val="true"/>
        <sz val="9"/>
        <rFont val="Arial"/>
        <family val="0"/>
        <charset val="1"/>
      </rPr>
      <t xml:space="preserve">4. </t>
    </r>
    <r>
      <rPr>
        <i val="true"/>
        <sz val="9"/>
        <rFont val="WenQuanYi Zen Hei"/>
        <family val="2"/>
      </rPr>
      <t xml:space="preserve">黄色セルが入力欄、白セルは自動計算（数式）です。数式セルは編集しないでください。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</si>
</sst>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1"/>
      <color rgb="FF000000"/>
      <name val="Arial"/>
      <family val="0"/>
      <charset val="1"/>
    </font>
    <font>
      <sz val="11"/>
      <color rgb="FF000000"/>
      <name val="WenQuanYi Zen Hei"/>
      <family val="2"/>
    </font>
    <font>
      <sz val="11"/>
      <color rgb="FF0000FF"/>
      <name val="Arial"/>
      <family val="0"/>
      <charset val="1"/>
    </font>
    <font>
      <sz val="10"/>
      <name val="WenQuanYi Zen Hei"/>
      <family val="2"/>
    </font>
    <font>
      <b val="true"/>
      <sz val="14"/>
      <name val="WenQuanYi Zen Hei"/>
      <family val="2"/>
    </font>
    <font>
      <b val="true"/>
      <sz val="11"/>
      <name val="WenQuanYi Zen Hei"/>
      <family val="2"/>
    </font>
    <font>
      <sz val="11"/>
      <color theme="1"/>
      <name val="WenQuanYi Zen Hei"/>
      <family val="2"/>
    </font>
    <font>
      <sz val="11"/>
      <color rgb="FF0000FF"/>
      <name val="WenQuanYi Zen Hei"/>
      <family val="2"/>
    </font>
    <font>
      <b val="true"/>
      <sz val="12"/>
      <name val="WenQuanYi Zen Hei"/>
      <family val="2"/>
    </font>
    <font>
      <i val="true"/>
      <sz val="9"/>
      <name val="Arial"/>
      <family val="0"/>
      <charset val="1"/>
    </font>
    <font>
      <i val="true"/>
      <sz val="9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CC"/>
        <bgColor rgb="FFFFFFFF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7" min="6" style="0" width="16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95.5" hidden="false" customHeight="fals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5"/>
      <c r="G2" s="5"/>
      <c r="H2" s="4" t="s">
        <v>12</v>
      </c>
    </row>
    <row r="3" customFormat="false" ht="28.35" hidden="false" customHeight="false" outlineLevel="0" collapsed="false">
      <c r="A3" s="3" t="n">
        <v>2</v>
      </c>
      <c r="B3" s="4" t="s">
        <v>13</v>
      </c>
      <c r="C3" s="4" t="s">
        <v>14</v>
      </c>
      <c r="D3" s="4" t="s">
        <v>15</v>
      </c>
      <c r="E3" s="4" t="s">
        <v>16</v>
      </c>
      <c r="F3" s="5"/>
      <c r="G3" s="5" t="n">
        <v>420</v>
      </c>
      <c r="H3" s="4" t="s">
        <v>17</v>
      </c>
    </row>
    <row r="4" customFormat="false" ht="15" hidden="false" customHeight="false" outlineLevel="0" collapsed="false">
      <c r="A4" s="0" t="n">
        <v>3</v>
      </c>
      <c r="B4" s="6"/>
      <c r="C4" s="6"/>
      <c r="D4" s="6"/>
      <c r="E4" s="6"/>
      <c r="F4" s="7"/>
      <c r="G4" s="7"/>
      <c r="H4" s="6"/>
    </row>
    <row r="5" customFormat="false" ht="15" hidden="false" customHeight="false" outlineLevel="0" collapsed="false">
      <c r="A5" s="0" t="n">
        <v>4</v>
      </c>
      <c r="B5" s="6"/>
      <c r="C5" s="6"/>
      <c r="D5" s="6"/>
      <c r="E5" s="6"/>
      <c r="F5" s="7"/>
      <c r="G5" s="7"/>
      <c r="H5" s="6"/>
    </row>
    <row r="6" customFormat="false" ht="15" hidden="false" customHeight="false" outlineLevel="0" collapsed="false">
      <c r="A6" s="0" t="n">
        <v>5</v>
      </c>
      <c r="B6" s="6"/>
      <c r="C6" s="6"/>
      <c r="D6" s="6"/>
      <c r="E6" s="6"/>
      <c r="F6" s="7"/>
      <c r="G6" s="7"/>
      <c r="H6" s="6"/>
    </row>
    <row r="7" customFormat="false" ht="15" hidden="false" customHeight="false" outlineLevel="0" collapsed="false">
      <c r="A7" s="0" t="n">
        <v>6</v>
      </c>
      <c r="B7" s="6"/>
      <c r="C7" s="6"/>
      <c r="D7" s="6"/>
      <c r="E7" s="6"/>
      <c r="F7" s="7"/>
      <c r="G7" s="7"/>
      <c r="H7" s="6"/>
    </row>
    <row r="8" customFormat="false" ht="15" hidden="false" customHeight="false" outlineLevel="0" collapsed="false">
      <c r="A8" s="0" t="n">
        <v>7</v>
      </c>
      <c r="B8" s="6"/>
      <c r="C8" s="6"/>
      <c r="D8" s="6"/>
      <c r="E8" s="6"/>
      <c r="F8" s="7"/>
      <c r="G8" s="7"/>
      <c r="H8" s="6"/>
    </row>
    <row r="9" customFormat="false" ht="15" hidden="false" customHeight="false" outlineLevel="0" collapsed="false">
      <c r="A9" s="0" t="n">
        <v>8</v>
      </c>
      <c r="B9" s="6"/>
      <c r="C9" s="6"/>
      <c r="D9" s="6"/>
      <c r="E9" s="6"/>
      <c r="F9" s="7"/>
      <c r="G9" s="7"/>
      <c r="H9" s="6"/>
    </row>
    <row r="10" customFormat="false" ht="15" hidden="false" customHeight="false" outlineLevel="0" collapsed="false">
      <c r="A10" s="0" t="n">
        <v>9</v>
      </c>
      <c r="B10" s="6"/>
      <c r="C10" s="6"/>
      <c r="D10" s="6"/>
      <c r="E10" s="6"/>
      <c r="F10" s="7"/>
      <c r="G10" s="7"/>
      <c r="H10" s="6"/>
    </row>
    <row r="11" customFormat="false" ht="15" hidden="false" customHeight="false" outlineLevel="0" collapsed="false">
      <c r="A11" s="0" t="n">
        <v>10</v>
      </c>
      <c r="B11" s="6"/>
      <c r="C11" s="6"/>
      <c r="D11" s="6"/>
      <c r="E11" s="6"/>
      <c r="F11" s="7"/>
      <c r="G11" s="7"/>
      <c r="H11" s="6"/>
    </row>
    <row r="12" customFormat="false" ht="15" hidden="false" customHeight="false" outlineLevel="0" collapsed="false">
      <c r="A12" s="0" t="n">
        <v>11</v>
      </c>
      <c r="B12" s="6"/>
      <c r="C12" s="6"/>
      <c r="D12" s="6"/>
      <c r="E12" s="6"/>
      <c r="F12" s="7"/>
      <c r="G12" s="7"/>
      <c r="H12" s="6"/>
    </row>
    <row r="13" customFormat="false" ht="15" hidden="false" customHeight="false" outlineLevel="0" collapsed="false">
      <c r="A13" s="0" t="n">
        <v>12</v>
      </c>
      <c r="B13" s="6"/>
      <c r="C13" s="6"/>
      <c r="D13" s="6"/>
      <c r="E13" s="6"/>
      <c r="F13" s="7"/>
      <c r="G13" s="7"/>
      <c r="H13" s="6"/>
    </row>
    <row r="14" customFormat="false" ht="15" hidden="false" customHeight="false" outlineLevel="0" collapsed="false">
      <c r="A14" s="0" t="n">
        <v>13</v>
      </c>
      <c r="B14" s="6"/>
      <c r="C14" s="6"/>
      <c r="D14" s="6"/>
      <c r="E14" s="6"/>
      <c r="F14" s="7"/>
      <c r="G14" s="7"/>
      <c r="H14" s="6"/>
    </row>
    <row r="15" customFormat="false" ht="15" hidden="false" customHeight="false" outlineLevel="0" collapsed="false">
      <c r="A15" s="0" t="n">
        <v>14</v>
      </c>
      <c r="B15" s="6"/>
      <c r="C15" s="6"/>
      <c r="D15" s="6"/>
      <c r="E15" s="6"/>
      <c r="F15" s="7"/>
      <c r="G15" s="7"/>
      <c r="H15" s="6"/>
    </row>
    <row r="16" customFormat="false" ht="15" hidden="false" customHeight="false" outlineLevel="0" collapsed="false">
      <c r="A16" s="0" t="n">
        <v>15</v>
      </c>
      <c r="B16" s="6"/>
      <c r="C16" s="6"/>
      <c r="D16" s="6"/>
      <c r="E16" s="6"/>
      <c r="F16" s="7"/>
      <c r="G16" s="7"/>
      <c r="H16" s="6"/>
    </row>
    <row r="17" customFormat="false" ht="15" hidden="false" customHeight="false" outlineLevel="0" collapsed="false">
      <c r="A17" s="0" t="n">
        <v>16</v>
      </c>
      <c r="B17" s="6"/>
      <c r="C17" s="6"/>
      <c r="D17" s="6"/>
      <c r="E17" s="6"/>
      <c r="F17" s="7"/>
      <c r="G17" s="7"/>
      <c r="H17" s="6"/>
    </row>
    <row r="18" customFormat="false" ht="15" hidden="false" customHeight="false" outlineLevel="0" collapsed="false">
      <c r="A18" s="0" t="n">
        <v>17</v>
      </c>
      <c r="B18" s="6"/>
      <c r="C18" s="6"/>
      <c r="D18" s="6"/>
      <c r="E18" s="6"/>
      <c r="F18" s="7"/>
      <c r="G18" s="7"/>
      <c r="H18" s="6"/>
    </row>
    <row r="19" customFormat="false" ht="15" hidden="false" customHeight="false" outlineLevel="0" collapsed="false">
      <c r="A19" s="0" t="n">
        <v>18</v>
      </c>
      <c r="B19" s="6"/>
      <c r="C19" s="6"/>
      <c r="D19" s="6"/>
      <c r="E19" s="6"/>
      <c r="F19" s="7"/>
      <c r="G19" s="7"/>
      <c r="H19" s="6"/>
    </row>
    <row r="20" customFormat="false" ht="15" hidden="false" customHeight="false" outlineLevel="0" collapsed="false">
      <c r="A20" s="0" t="n">
        <v>19</v>
      </c>
      <c r="B20" s="6"/>
      <c r="C20" s="6"/>
      <c r="D20" s="6"/>
      <c r="E20" s="6"/>
      <c r="F20" s="7"/>
      <c r="G20" s="7"/>
      <c r="H20" s="6"/>
    </row>
    <row r="21" customFormat="false" ht="15" hidden="false" customHeight="false" outlineLevel="0" collapsed="false">
      <c r="A21" s="0" t="n">
        <v>20</v>
      </c>
      <c r="B21" s="6"/>
      <c r="C21" s="6"/>
      <c r="D21" s="6"/>
      <c r="E21" s="6"/>
      <c r="F21" s="7"/>
      <c r="G21" s="7"/>
      <c r="H21" s="6"/>
    </row>
  </sheetData>
  <dataValidations count="1">
    <dataValidation allowBlank="true" errorStyle="stop" operator="between" showDropDown="false" showErrorMessage="false" showInputMessage="false" sqref="B2:B21" type="list">
      <formula1>"利用者,病院,施設"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"/>
    <col collapsed="false" customWidth="true" hidden="false" outlineLevel="0" max="3" min="3" style="0" width="46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8" t="s">
        <v>18</v>
      </c>
      <c r="B1" s="8"/>
      <c r="C1" s="8"/>
      <c r="D1" s="8"/>
    </row>
    <row r="3" customFormat="false" ht="15" hidden="false" customHeight="false" outlineLevel="0" collapsed="false">
      <c r="A3" s="9" t="s">
        <v>19</v>
      </c>
      <c r="C3" s="10" t="s">
        <v>20</v>
      </c>
    </row>
    <row r="4" customFormat="false" ht="15" hidden="false" customHeight="false" outlineLevel="0" collapsed="false">
      <c r="A4" s="9" t="s">
        <v>21</v>
      </c>
      <c r="C4" s="10" t="s">
        <v>22</v>
      </c>
    </row>
    <row r="5" customFormat="false" ht="15" hidden="false" customHeight="false" outlineLevel="0" collapsed="false">
      <c r="A5" s="6"/>
      <c r="C5" s="6"/>
    </row>
    <row r="6" customFormat="false" ht="15" hidden="false" customHeight="false" outlineLevel="0" collapsed="false">
      <c r="A6" s="9" t="s">
        <v>23</v>
      </c>
      <c r="C6" s="11" t="s">
        <v>9</v>
      </c>
    </row>
    <row r="7" customFormat="false" ht="15" hidden="false" customHeight="false" outlineLevel="0" collapsed="false">
      <c r="A7" s="9" t="s">
        <v>24</v>
      </c>
      <c r="C7" s="7" t="n">
        <v>1</v>
      </c>
    </row>
    <row r="8" customFormat="false" ht="15" hidden="false" customHeight="false" outlineLevel="0" collapsed="false">
      <c r="A8" s="6"/>
      <c r="C8" s="6"/>
    </row>
    <row r="9" customFormat="false" ht="15" hidden="false" customHeight="false" outlineLevel="0" collapsed="false">
      <c r="A9" s="9" t="s">
        <v>3</v>
      </c>
      <c r="C9" s="12" t="str">
        <f aca="false">IFERROR(INDEX(運賃マスタ!$D$2:$D$21,MATCH($C$6,運賃マスタ!$C$2:$C$21,0)),"")</f>
        <v>福大前駅</v>
      </c>
    </row>
    <row r="10" customFormat="false" ht="15" hidden="false" customHeight="false" outlineLevel="0" collapsed="false">
      <c r="A10" s="9" t="s">
        <v>25</v>
      </c>
      <c r="C10" s="12" t="str">
        <f aca="false">IFERROR(INDEX(運賃マスタ!$E$2:$E$21,MATCH($C$6,運賃マスタ!$C$2:$C$21,0)),"")</f>
        <v>周船寺→(JR筑肥線・地下鉄空港線 直通)→天神→(徒歩)→天神南→(地下鉄七隈線)→福大前→(徒歩約3分)</v>
      </c>
    </row>
    <row r="11" customFormat="false" ht="15" hidden="false" customHeight="false" outlineLevel="0" collapsed="false">
      <c r="A11" s="9" t="s">
        <v>5</v>
      </c>
      <c r="C11" s="12" t="n">
        <f aca="false">IFERROR(INDEX(運賃マスタ!$F$2:$F$21,MATCH($C$6,運賃マスタ!$C$2:$C$21,0)),0)</f>
        <v>0</v>
      </c>
    </row>
    <row r="12" customFormat="false" ht="15" hidden="false" customHeight="false" outlineLevel="0" collapsed="false">
      <c r="A12" s="9" t="s">
        <v>6</v>
      </c>
      <c r="C12" s="12" t="n">
        <f aca="false">IFERROR(INDEX(運賃マスタ!$G$2:$G$21,MATCH($C$6,運賃マスタ!$C$2:$C$21,0)),0)</f>
        <v>0</v>
      </c>
    </row>
    <row r="13" customFormat="false" ht="15" hidden="false" customHeight="false" outlineLevel="0" collapsed="false">
      <c r="A13" s="9" t="s">
        <v>26</v>
      </c>
      <c r="C13" s="12" t="str">
        <f aca="false">IF(C11&gt;0,"電車",IF(C12&gt;0,"バス","要確認（運賃マスタ未入力）"))</f>
        <v>要確認（運賃マスタ未入力）</v>
      </c>
    </row>
    <row r="14" customFormat="false" ht="15" hidden="false" customHeight="false" outlineLevel="0" collapsed="false">
      <c r="A14" s="9" t="s">
        <v>27</v>
      </c>
      <c r="C14" s="12" t="str">
        <f aca="false">IF(C11&gt;0,C11,IF(C12&gt;0,C12,"要確認"))</f>
        <v>要確認</v>
      </c>
    </row>
    <row r="15" customFormat="false" ht="15" hidden="false" customHeight="false" outlineLevel="0" collapsed="false">
      <c r="A15" s="9" t="s">
        <v>28</v>
      </c>
      <c r="C15" s="12" t="str">
        <f aca="false">IF(ISNUMBER(C14),C14*2,"要確認")</f>
        <v>要確認</v>
      </c>
    </row>
    <row r="16" customFormat="false" ht="15" hidden="false" customHeight="false" outlineLevel="0" collapsed="false">
      <c r="A16" s="13" t="s">
        <v>29</v>
      </c>
      <c r="C16" s="14" t="str">
        <f aca="false">IF(ISNUMBER(C15),C15*C7,"要確認")</f>
        <v>要確認</v>
      </c>
    </row>
    <row r="17" customFormat="false" ht="15" hidden="false" customHeight="false" outlineLevel="0" collapsed="false">
      <c r="A17" s="6"/>
      <c r="C17" s="6"/>
    </row>
    <row r="18" customFormat="false" ht="60" hidden="false" customHeight="true" outlineLevel="0" collapsed="false">
      <c r="A18" s="9" t="s">
        <v>30</v>
      </c>
      <c r="C18" s="15" t="str">
        <f aca="false">IFERROR(INDEX(運賃マスタ!$H$2:$H$21,MATCH($C$6,運賃マスタ!$C$2:$C$21,0)),"")</f>
        <v>周船寺～天神間は570円（JR筑肥線270円＋福岡市地下鉄空港線300円、乗換なしの直通、2026年8月時点の検索結果に基づく）まで確認済み。天神～天神南駅間は徒歩連絡のため運賃加算なし。天神南～福大前駅（地下鉄七隈線）の運賃、およびバス利用時の経路・運賃は未確認です。ご利用前にYahoo!路線情報・駅探等の公式経路検索で最終確認のうえ、電車運賃・バス運賃欄（黄色セル）に金額を入力してください。</v>
      </c>
    </row>
    <row r="20" customFormat="false" ht="15" hidden="false" customHeight="false" outlineLevel="0" collapsed="false">
      <c r="A20" s="16" t="s">
        <v>31</v>
      </c>
    </row>
    <row r="21" customFormat="false" ht="13.4" hidden="false" customHeight="false" outlineLevel="0" collapsed="false">
      <c r="A21" s="17" t="s">
        <v>32</v>
      </c>
      <c r="B21" s="17"/>
      <c r="C21" s="17"/>
      <c r="D21" s="17"/>
    </row>
    <row r="22" customFormat="false" ht="13.4" hidden="false" customHeight="false" outlineLevel="0" collapsed="false">
      <c r="A22" s="17" t="s">
        <v>33</v>
      </c>
      <c r="B22" s="17"/>
      <c r="C22" s="17"/>
      <c r="D22" s="17"/>
    </row>
    <row r="23" customFormat="false" ht="13.4" hidden="false" customHeight="false" outlineLevel="0" collapsed="false">
      <c r="A23" s="17" t="s">
        <v>34</v>
      </c>
      <c r="B23" s="17"/>
      <c r="C23" s="17"/>
      <c r="D23" s="17"/>
    </row>
    <row r="24" customFormat="false" ht="13.4" hidden="false" customHeight="false" outlineLevel="0" collapsed="false">
      <c r="A24" s="17" t="s">
        <v>35</v>
      </c>
      <c r="B24" s="17"/>
      <c r="C24" s="17"/>
      <c r="D24" s="17"/>
    </row>
  </sheetData>
  <mergeCells count="5">
    <mergeCell ref="A1:D1"/>
    <mergeCell ref="A21:D21"/>
    <mergeCell ref="A22:D22"/>
    <mergeCell ref="A23:D23"/>
    <mergeCell ref="A24:D24"/>
  </mergeCells>
  <dataValidations count="1">
    <dataValidation allowBlank="true" errorStyle="stop" operator="between" showDropDown="false" showErrorMessage="false" showInputMessage="false" sqref="C6" type="list">
      <formula1>運賃マスタ!$C$2:$C$21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2026-08-26T05:01:32Z</dcterms:created>
  <dc:creator>openpyxl</dc:creator>
  <dc:description/>
  <dc:language>en-US</dc:language>
  <cp:lastModifiedBy/>
  <dcterms:modified xsi:type="dcterms:W3CDTF">2026-08-26T05:01:32Z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